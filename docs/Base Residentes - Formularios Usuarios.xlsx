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s namoncura\Downloads\Proyecto Getión Residentes Antú\Documentación\"/>
    </mc:Choice>
  </mc:AlternateContent>
  <xr:revisionPtr revIDLastSave="0" documentId="13_ncr:1_{D3C5F51C-45DC-4960-9EEA-5F0D7D8D7D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uarios" sheetId="1" r:id="rId1"/>
    <sheet name="Residentes" sheetId="2" r:id="rId2"/>
    <sheet name="Form DT" sheetId="3" r:id="rId3"/>
    <sheet name="Form Enf" sheetId="4" r:id="rId4"/>
    <sheet name="Form CAM" sheetId="5" r:id="rId5"/>
    <sheet name="Nutr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nWOCXH0yYoJ1wFYzcJQDTKCWITAkA+Aj8smUWOLhJFo=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</calcChain>
</file>

<file path=xl/sharedStrings.xml><?xml version="1.0" encoding="utf-8"?>
<sst xmlns="http://schemas.openxmlformats.org/spreadsheetml/2006/main" count="246" uniqueCount="191">
  <si>
    <t>ID</t>
  </si>
  <si>
    <t>Nombre</t>
  </si>
  <si>
    <t>Usuario</t>
  </si>
  <si>
    <t>Rol</t>
  </si>
  <si>
    <t>Comentario</t>
  </si>
  <si>
    <t>Marcelo Namoncura Poblete</t>
  </si>
  <si>
    <t>adminitracion@hogarantu.cl</t>
  </si>
  <si>
    <t>Administrador</t>
  </si>
  <si>
    <t>Puede crear, eliminar, reemplazar, deshacer registros; ya sean usuarios, residentes, datos de los formularios de usuarios, etc</t>
  </si>
  <si>
    <t>Carlos Contreras</t>
  </si>
  <si>
    <t>enfermero@hogaantu.cl</t>
  </si>
  <si>
    <t>Supervisor</t>
  </si>
  <si>
    <t>Nutri</t>
  </si>
  <si>
    <t>nutricion@hogarantu.cl</t>
  </si>
  <si>
    <t xml:space="preserve">Rita </t>
  </si>
  <si>
    <t>dt@hogarantu.cl</t>
  </si>
  <si>
    <t>CAM1</t>
  </si>
  <si>
    <t>CAM2</t>
  </si>
  <si>
    <t>Rut</t>
  </si>
  <si>
    <t>Fecha Nac</t>
  </si>
  <si>
    <t>Edad (formula)</t>
  </si>
  <si>
    <t>Peso Inicial (kg)</t>
  </si>
  <si>
    <t>Mail Apoderado</t>
  </si>
  <si>
    <t>Teléfono Apoderado</t>
  </si>
  <si>
    <t>Teléfono Contacto SOS</t>
  </si>
  <si>
    <t>Nombre Contacto SOS</t>
  </si>
  <si>
    <t>Servicio Urgencia</t>
  </si>
  <si>
    <t>Estado</t>
  </si>
  <si>
    <t>Activo</t>
  </si>
  <si>
    <t>Nombre Residente</t>
  </si>
  <si>
    <t>Fecha Registro</t>
  </si>
  <si>
    <t>DD/MM/AA</t>
  </si>
  <si>
    <t>Evolucion Clinica</t>
  </si>
  <si>
    <t>estás super bien el paciente</t>
  </si>
  <si>
    <t>XXXXXXXXXX</t>
  </si>
  <si>
    <t>XXXXXXXX-X</t>
  </si>
  <si>
    <t>Evolucion</t>
  </si>
  <si>
    <t>Hora</t>
  </si>
  <si>
    <t>Fecha</t>
  </si>
  <si>
    <t>Residente</t>
  </si>
  <si>
    <t>Edad</t>
  </si>
  <si>
    <t xml:space="preserve"> </t>
  </si>
  <si>
    <t>SI/NO</t>
  </si>
  <si>
    <t>Observaciones</t>
  </si>
  <si>
    <t>(cambios conductuales, orina de mal olor, salidas, accidentes o urgencias medicas, etc)</t>
  </si>
  <si>
    <t>Formulario Nutricionista</t>
  </si>
  <si>
    <t>Sexo</t>
  </si>
  <si>
    <t>Peso</t>
  </si>
  <si>
    <t>Talla</t>
  </si>
  <si>
    <t>IMC</t>
  </si>
  <si>
    <t>Clasificacion</t>
  </si>
  <si>
    <t>CC</t>
  </si>
  <si>
    <t>CB</t>
  </si>
  <si>
    <t>PT</t>
  </si>
  <si>
    <t>CP</t>
  </si>
  <si>
    <t>Observaciones/recomendaciones</t>
  </si>
  <si>
    <t>(Se recomienda ensure, glucerna, aporte calorico, mas huevos, etc)</t>
  </si>
  <si>
    <t>5.335.013-5</t>
  </si>
  <si>
    <t>Diabetes Mellitus tipo 2, Hipertension Arterial, Demencia</t>
  </si>
  <si>
    <t>Ruben Tapia</t>
  </si>
  <si>
    <t>Karla Hormazabal</t>
  </si>
  <si>
    <t>9 3373 2387</t>
  </si>
  <si>
    <t>9 8196 6212</t>
  </si>
  <si>
    <t>Irene Carolina Parkes Carrasco</t>
  </si>
  <si>
    <t>4.508.231-8</t>
  </si>
  <si>
    <t>Hipertension Arterial, Parkinson, Deterioro Cognitivo</t>
  </si>
  <si>
    <t>Pablo Verdejo</t>
  </si>
  <si>
    <t>EMECAR</t>
  </si>
  <si>
    <t>Eduardo Verdejo</t>
  </si>
  <si>
    <t>Maria Isabel Leinenweber Bravo</t>
  </si>
  <si>
    <t>5.036.161-6</t>
  </si>
  <si>
    <t>Deterioro Cognitivo, Hipertension Arterial</t>
  </si>
  <si>
    <t>Carlos Longhi</t>
  </si>
  <si>
    <t>gclonghi@gmail.com</t>
  </si>
  <si>
    <t>9 7857 9279</t>
  </si>
  <si>
    <t>SAMU</t>
  </si>
  <si>
    <t>Sara Quiros Muller</t>
  </si>
  <si>
    <t>4.898.901-2</t>
  </si>
  <si>
    <t>Patologias de Ingreso</t>
  </si>
  <si>
    <t>Francisco Yuseff</t>
  </si>
  <si>
    <t>9 8868 5910</t>
  </si>
  <si>
    <t>Beatriz Del Carmen Vera Llanos</t>
  </si>
  <si>
    <t>5.486.820-0</t>
  </si>
  <si>
    <t>7.497.569-0</t>
  </si>
  <si>
    <t>Katherine Figueroa</t>
  </si>
  <si>
    <t>9 4440 5227</t>
  </si>
  <si>
    <t>Hortensia Martinez Franco</t>
  </si>
  <si>
    <t>3.166.817-4</t>
  </si>
  <si>
    <t>Deterioro Cognitivo Mayor</t>
  </si>
  <si>
    <t>Ximena Vargas</t>
  </si>
  <si>
    <t>9 8774 0278</t>
  </si>
  <si>
    <t>2.716.675-K</t>
  </si>
  <si>
    <t>Hipertension Arterial</t>
  </si>
  <si>
    <t>Oriana Aninat</t>
  </si>
  <si>
    <t>9 8369 7509</t>
  </si>
  <si>
    <t>Aida Cecilia Lara Ponce</t>
  </si>
  <si>
    <t>5.233.396-2</t>
  </si>
  <si>
    <t>Nancy Alarcon</t>
  </si>
  <si>
    <t>nalarcon1975@gmail.com</t>
  </si>
  <si>
    <t>9 9097 5021</t>
  </si>
  <si>
    <t>9 6591 8991</t>
  </si>
  <si>
    <t>Hans (Marido Nancy)</t>
  </si>
  <si>
    <t>Jerman Silva Navarrete</t>
  </si>
  <si>
    <t>4.126.362-8</t>
  </si>
  <si>
    <t>Fecha Ingreso</t>
  </si>
  <si>
    <t>Antecedentes Ca. Prostata, ACV año 2013, Deterioro Cognitivo c/ delirio hiperactivo mixto, Hipertension Arterial, Diabetes Mellitus</t>
  </si>
  <si>
    <t>Germania Silva</t>
  </si>
  <si>
    <t>gema.silva.h@gmail.com</t>
  </si>
  <si>
    <t>9 7725 9932</t>
  </si>
  <si>
    <t>9 6619 9472</t>
  </si>
  <si>
    <t>Maritza Silva</t>
  </si>
  <si>
    <t>Policlinico Naval</t>
  </si>
  <si>
    <t>Myriam Maruri Koppmann</t>
  </si>
  <si>
    <t>4.486.986-1</t>
  </si>
  <si>
    <t>Deterioro Cognitivo Mayor Mixto, Dismovilidad Leve</t>
  </si>
  <si>
    <t>Apoderado</t>
  </si>
  <si>
    <t>Jessica Marchant</t>
  </si>
  <si>
    <t>jessicamarchant@gmail.com</t>
  </si>
  <si>
    <t>9 9250 5518</t>
  </si>
  <si>
    <t>9 9410 5064</t>
  </si>
  <si>
    <t>Carlos Marchant</t>
  </si>
  <si>
    <t>Jose Omar Bravo Rodriguez</t>
  </si>
  <si>
    <t>3.695.879-0</t>
  </si>
  <si>
    <t>Ximena Bravo</t>
  </si>
  <si>
    <t>ximebravosanhueza16@gmail.com</t>
  </si>
  <si>
    <t>9 7695 3779</t>
  </si>
  <si>
    <t>Carlos Senarega Vasquez</t>
  </si>
  <si>
    <t>5.442.578-3</t>
  </si>
  <si>
    <t>Deterioro Cognitivo, Delirio hiperactivo</t>
  </si>
  <si>
    <t>Fabiola Llanos</t>
  </si>
  <si>
    <t>fabiolallanosdonoso@gmail.com</t>
  </si>
  <si>
    <t>9 6607 5023</t>
  </si>
  <si>
    <t>9 7977 2674</t>
  </si>
  <si>
    <t>Humberto (sobrino)</t>
  </si>
  <si>
    <t>Luis Pardo Arias</t>
  </si>
  <si>
    <t>3.855.451-4</t>
  </si>
  <si>
    <t>Temblor extremidad derecha, Hipertension Arterial, Demencia Mixta, ACV antiguo</t>
  </si>
  <si>
    <t>Maria Cecilia Pardo</t>
  </si>
  <si>
    <t>mariapardopeq@gmail.com</t>
  </si>
  <si>
    <t>9 9280 2564</t>
  </si>
  <si>
    <t>Nivea Susana Sepulveda Poirrier</t>
  </si>
  <si>
    <t>4.290.691-3</t>
  </si>
  <si>
    <t xml:space="preserve">Asma, Paralisis de Bell, enfermedad de Parkinson, </t>
  </si>
  <si>
    <t>Claudia Soto</t>
  </si>
  <si>
    <t>claudiasotosep2@gmail.com</t>
  </si>
  <si>
    <t>9 9204 2455</t>
  </si>
  <si>
    <t>9 9677 3683</t>
  </si>
  <si>
    <t>Sabrina Soto</t>
  </si>
  <si>
    <t>pablo.verdejo@gmail.com</t>
  </si>
  <si>
    <t>franciscoyuseff@gmail.com</t>
  </si>
  <si>
    <t>Ivon Poblete</t>
  </si>
  <si>
    <t>katherine.figueroa.silva@gmail.com</t>
  </si>
  <si>
    <t>toty2606@hotmail.com</t>
  </si>
  <si>
    <t>9 6619 7409</t>
  </si>
  <si>
    <t>9 9942 3334</t>
  </si>
  <si>
    <t>9 6407 7804</t>
  </si>
  <si>
    <t>Ignacio (hijo)</t>
  </si>
  <si>
    <t>9 6699 5192</t>
  </si>
  <si>
    <t>9 8889 0273</t>
  </si>
  <si>
    <t>Ivan Figueroa</t>
  </si>
  <si>
    <t>9 8198 9874</t>
  </si>
  <si>
    <t>Veronica Bravo</t>
  </si>
  <si>
    <t>Isabel Del Carmen Viceion Osorio</t>
  </si>
  <si>
    <t>Rossana del Carmen Silva Vilches</t>
  </si>
  <si>
    <t>Silvia Guzmán Newson</t>
  </si>
  <si>
    <t>carenave@gmail.com</t>
  </si>
  <si>
    <t>9 52222138</t>
  </si>
  <si>
    <t>Carlos Nakamura Vera</t>
  </si>
  <si>
    <t>Hipertensión Arterial, Deterioro Cognitivo, Dismovilidad</t>
  </si>
  <si>
    <t>Demencia, enf. Parkinson, Depresión</t>
  </si>
  <si>
    <t>Diabetes Mellitus Insulinoresistencia, Hipertensión arterial, hipotiroidismo, hiperglicemia</t>
  </si>
  <si>
    <t>chelo.namoncura@gmail.com</t>
  </si>
  <si>
    <t>Postración, desnutrición, escaras (sacro y talón derecho), Cáncer de mama antiguo</t>
  </si>
  <si>
    <t>Don Caco</t>
  </si>
  <si>
    <t>Clínica ACME</t>
  </si>
  <si>
    <t>Nombre CAM</t>
  </si>
  <si>
    <t>Formulario Cuidadores Adulto Mayor</t>
  </si>
  <si>
    <t>T° (Grados °C)</t>
  </si>
  <si>
    <t>Administración de Medicamentos</t>
  </si>
  <si>
    <t>Si su respuesta es Sí, debe seleccionar el horario y tener un espacio para escribir el nombre del medicamento</t>
  </si>
  <si>
    <t>Control de Ciclos</t>
  </si>
  <si>
    <t>Sat (%)</t>
  </si>
  <si>
    <t>Presion Arterial (mmHg)</t>
  </si>
  <si>
    <t>HGT (mg/dl)</t>
  </si>
  <si>
    <t>Puede ingresar datos sólo a sus formulario, panel de alertas y dasboard</t>
  </si>
  <si>
    <t>cam-dia@hogarantu.cl</t>
  </si>
  <si>
    <t>cam-noche@hogarantu.cl</t>
  </si>
  <si>
    <t>usuario</t>
  </si>
  <si>
    <t>Puede ingresar datos sólo a sus formularios</t>
  </si>
  <si>
    <t>Luis Namoncura Poblete</t>
  </si>
  <si>
    <t>administracion_respaldo@hogarantu.cl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</si>
</sst>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0" borderId="1" xfId="0" applyFont="1" applyBorder="1"/>
    <xf numFmtId="0" fontId="5" fillId="0" borderId="10" xfId="0" applyFont="1" applyBorder="1" applyAlignment="1">
      <alignment horizontal="left" vertical="center"/>
    </xf>
    <xf numFmtId="14" fontId="5" fillId="0" borderId="10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0" fillId="2" borderId="10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2" fillId="0" borderId="0" xfId="0" applyFont="1"/>
    <xf numFmtId="1" fontId="8" fillId="0" borderId="0" xfId="1" applyNumberFormat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0" fillId="0" borderId="0" xfId="0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5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tricion@hogarantu.cl" TargetMode="External"/><Relationship Id="rId7" Type="http://schemas.openxmlformats.org/officeDocument/2006/relationships/hyperlink" Target="mailto:administracion_respaldo@hogarantu.cl" TargetMode="External"/><Relationship Id="rId2" Type="http://schemas.openxmlformats.org/officeDocument/2006/relationships/hyperlink" Target="mailto:enfermero@hogaantu.cl" TargetMode="External"/><Relationship Id="rId1" Type="http://schemas.openxmlformats.org/officeDocument/2006/relationships/hyperlink" Target="mailto:adminitracion@hogarantu.cl" TargetMode="External"/><Relationship Id="rId6" Type="http://schemas.openxmlformats.org/officeDocument/2006/relationships/hyperlink" Target="mailto:cam-noche@hogarantu.cl" TargetMode="External"/><Relationship Id="rId5" Type="http://schemas.openxmlformats.org/officeDocument/2006/relationships/hyperlink" Target="mailto:cam-dia@hogarantu.cl" TargetMode="External"/><Relationship Id="rId4" Type="http://schemas.openxmlformats.org/officeDocument/2006/relationships/hyperlink" Target="mailto:dt@hogarantu.c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laudiasotosep2@gmail.com" TargetMode="External"/><Relationship Id="rId13" Type="http://schemas.openxmlformats.org/officeDocument/2006/relationships/hyperlink" Target="mailto:carenave@gmail.com" TargetMode="External"/><Relationship Id="rId3" Type="http://schemas.openxmlformats.org/officeDocument/2006/relationships/hyperlink" Target="mailto:gema.silva.h@gmail.com" TargetMode="External"/><Relationship Id="rId7" Type="http://schemas.openxmlformats.org/officeDocument/2006/relationships/hyperlink" Target="mailto:mariapardopeq@gmail.com" TargetMode="External"/><Relationship Id="rId12" Type="http://schemas.openxmlformats.org/officeDocument/2006/relationships/hyperlink" Target="mailto:toty2606@hotmail.com" TargetMode="External"/><Relationship Id="rId2" Type="http://schemas.openxmlformats.org/officeDocument/2006/relationships/hyperlink" Target="mailto:nalarcon1975@gmail.com" TargetMode="External"/><Relationship Id="rId1" Type="http://schemas.openxmlformats.org/officeDocument/2006/relationships/hyperlink" Target="mailto:gclonghi@gmail.com" TargetMode="External"/><Relationship Id="rId6" Type="http://schemas.openxmlformats.org/officeDocument/2006/relationships/hyperlink" Target="mailto:fabiolallanosdonoso@gmail.com" TargetMode="External"/><Relationship Id="rId11" Type="http://schemas.openxmlformats.org/officeDocument/2006/relationships/hyperlink" Target="mailto:katherine.figueroa.silva@gmail.com" TargetMode="External"/><Relationship Id="rId5" Type="http://schemas.openxmlformats.org/officeDocument/2006/relationships/hyperlink" Target="mailto:ximebravosanhueza16@gmail.com" TargetMode="External"/><Relationship Id="rId15" Type="http://schemas.openxmlformats.org/officeDocument/2006/relationships/hyperlink" Target="mailto:chelo.namoncura@gmail.com" TargetMode="External"/><Relationship Id="rId10" Type="http://schemas.openxmlformats.org/officeDocument/2006/relationships/hyperlink" Target="mailto:franciscoyuseff@gmail.com" TargetMode="External"/><Relationship Id="rId4" Type="http://schemas.openxmlformats.org/officeDocument/2006/relationships/hyperlink" Target="mailto:jessicamarchant@gmail.com" TargetMode="External"/><Relationship Id="rId9" Type="http://schemas.openxmlformats.org/officeDocument/2006/relationships/hyperlink" Target="mailto:pablo.verdejo@gmail.com" TargetMode="External"/><Relationship Id="rId14" Type="http://schemas.openxmlformats.org/officeDocument/2006/relationships/hyperlink" Target="mailto:chelo.namoncu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5"/>
  <sheetViews>
    <sheetView tabSelected="1" workbookViewId="0">
      <selection activeCell="E3" sqref="E3"/>
    </sheetView>
  </sheetViews>
  <sheetFormatPr baseColWidth="10" defaultColWidth="14.44140625" defaultRowHeight="15" customHeight="1" x14ac:dyDescent="0.3"/>
  <cols>
    <col min="1" max="1" width="4.33203125" customWidth="1"/>
    <col min="2" max="2" width="25.44140625" customWidth="1"/>
    <col min="3" max="3" width="24.33203125" customWidth="1"/>
    <col min="4" max="4" width="18.109375" customWidth="1"/>
    <col min="5" max="26" width="8.8867187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2">
        <v>1</v>
      </c>
      <c r="B2" s="1" t="s">
        <v>5</v>
      </c>
      <c r="C2" s="3" t="s">
        <v>6</v>
      </c>
      <c r="D2" s="1" t="s">
        <v>7</v>
      </c>
      <c r="E2" s="1" t="s">
        <v>8</v>
      </c>
    </row>
    <row r="3" spans="1:5" ht="14.4" x14ac:dyDescent="0.3">
      <c r="A3" s="2">
        <v>2</v>
      </c>
      <c r="B3" s="42" t="s">
        <v>189</v>
      </c>
      <c r="C3" s="28" t="s">
        <v>190</v>
      </c>
      <c r="D3" s="1" t="s">
        <v>7</v>
      </c>
      <c r="E3" s="1" t="s">
        <v>8</v>
      </c>
    </row>
    <row r="4" spans="1:5" ht="14.4" x14ac:dyDescent="0.3">
      <c r="A4" s="2">
        <v>3</v>
      </c>
      <c r="B4" s="1" t="s">
        <v>9</v>
      </c>
      <c r="C4" s="3" t="s">
        <v>10</v>
      </c>
      <c r="D4" s="1" t="s">
        <v>11</v>
      </c>
      <c r="E4" s="27" t="s">
        <v>184</v>
      </c>
    </row>
    <row r="5" spans="1:5" ht="14.4" x14ac:dyDescent="0.3">
      <c r="A5" s="2">
        <v>4</v>
      </c>
      <c r="B5" s="1" t="s">
        <v>12</v>
      </c>
      <c r="C5" s="3" t="s">
        <v>13</v>
      </c>
      <c r="D5" s="27" t="s">
        <v>2</v>
      </c>
      <c r="E5" s="27" t="s">
        <v>188</v>
      </c>
    </row>
    <row r="6" spans="1:5" ht="14.4" x14ac:dyDescent="0.3">
      <c r="A6" s="2">
        <v>5</v>
      </c>
      <c r="B6" s="1" t="s">
        <v>14</v>
      </c>
      <c r="C6" s="3" t="s">
        <v>15</v>
      </c>
      <c r="D6" s="1" t="s">
        <v>11</v>
      </c>
      <c r="E6" s="27" t="s">
        <v>184</v>
      </c>
    </row>
    <row r="7" spans="1:5" ht="14.4" x14ac:dyDescent="0.3">
      <c r="A7" s="2">
        <v>6</v>
      </c>
      <c r="B7" s="1" t="s">
        <v>16</v>
      </c>
      <c r="C7" s="28" t="s">
        <v>185</v>
      </c>
      <c r="D7" s="27" t="s">
        <v>187</v>
      </c>
      <c r="E7" s="27" t="s">
        <v>188</v>
      </c>
    </row>
    <row r="8" spans="1:5" ht="14.4" x14ac:dyDescent="0.3">
      <c r="A8" s="2">
        <v>7</v>
      </c>
      <c r="B8" s="1" t="s">
        <v>17</v>
      </c>
      <c r="C8" s="28" t="s">
        <v>186</v>
      </c>
      <c r="D8" s="27" t="s">
        <v>187</v>
      </c>
      <c r="E8" s="27" t="s">
        <v>188</v>
      </c>
    </row>
    <row r="16" spans="1:5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hyperlinks>
    <hyperlink ref="C2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3" r:id="rId7" xr:uid="{13643E03-8F99-4E11-9984-49EC7FCFB103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pane xSplit="2" topLeftCell="C1" activePane="topRight" state="frozen"/>
      <selection pane="topRight" activeCell="D14" sqref="D14"/>
    </sheetView>
  </sheetViews>
  <sheetFormatPr baseColWidth="10" defaultColWidth="14.44140625" defaultRowHeight="15" customHeight="1" x14ac:dyDescent="0.3"/>
  <cols>
    <col min="1" max="1" width="2.88671875" bestFit="1" customWidth="1"/>
    <col min="2" max="2" width="30.5546875" bestFit="1" customWidth="1"/>
    <col min="3" max="3" width="11" bestFit="1" customWidth="1"/>
    <col min="4" max="4" width="10.44140625" bestFit="1" customWidth="1"/>
    <col min="5" max="5" width="14.109375" bestFit="1" customWidth="1"/>
    <col min="6" max="6" width="13.109375" bestFit="1" customWidth="1"/>
    <col min="7" max="7" width="14.88671875" bestFit="1" customWidth="1"/>
    <col min="8" max="8" width="60.5546875" customWidth="1"/>
    <col min="9" max="9" width="18" bestFit="1" customWidth="1"/>
    <col min="10" max="10" width="33.6640625" bestFit="1" customWidth="1"/>
    <col min="11" max="11" width="19.44140625" bestFit="1" customWidth="1"/>
    <col min="12" max="12" width="21.44140625" bestFit="1" customWidth="1"/>
    <col min="13" max="13" width="20.5546875" bestFit="1" customWidth="1"/>
    <col min="14" max="14" width="16.33203125" bestFit="1" customWidth="1"/>
    <col min="15" max="15" width="6.88671875" bestFit="1" customWidth="1"/>
    <col min="16" max="26" width="10.6640625" customWidth="1"/>
  </cols>
  <sheetData>
    <row r="1" spans="1:15" ht="14.4" x14ac:dyDescent="0.3">
      <c r="A1" s="9" t="s">
        <v>0</v>
      </c>
      <c r="B1" s="9" t="s">
        <v>1</v>
      </c>
      <c r="C1" s="9" t="s">
        <v>18</v>
      </c>
      <c r="D1" s="9" t="s">
        <v>19</v>
      </c>
      <c r="E1" s="9" t="s">
        <v>20</v>
      </c>
      <c r="F1" s="9" t="s">
        <v>104</v>
      </c>
      <c r="G1" s="9" t="s">
        <v>21</v>
      </c>
      <c r="H1" s="9" t="s">
        <v>78</v>
      </c>
      <c r="I1" s="9" t="s">
        <v>115</v>
      </c>
      <c r="J1" s="24" t="s">
        <v>22</v>
      </c>
      <c r="K1" s="24" t="s">
        <v>23</v>
      </c>
      <c r="L1" s="24" t="s">
        <v>24</v>
      </c>
      <c r="M1" s="9" t="s">
        <v>25</v>
      </c>
      <c r="N1" s="9" t="s">
        <v>26</v>
      </c>
      <c r="O1" s="10" t="s">
        <v>27</v>
      </c>
    </row>
    <row r="2" spans="1:15" ht="14.4" x14ac:dyDescent="0.3">
      <c r="A2" s="9">
        <v>1</v>
      </c>
      <c r="B2" s="9" t="s">
        <v>162</v>
      </c>
      <c r="C2" s="9" t="s">
        <v>57</v>
      </c>
      <c r="D2" s="11">
        <v>15737</v>
      </c>
      <c r="E2" s="12" t="str">
        <f ca="1">DATEDIF(D2,TODAY(),"Y")&amp;" años"</f>
        <v>83 años</v>
      </c>
      <c r="F2" s="11">
        <v>45536</v>
      </c>
      <c r="G2" s="9">
        <v>60.6</v>
      </c>
      <c r="H2" s="13" t="s">
        <v>58</v>
      </c>
      <c r="I2" s="9" t="s">
        <v>59</v>
      </c>
      <c r="J2" s="25" t="s">
        <v>171</v>
      </c>
      <c r="K2" s="24" t="s">
        <v>62</v>
      </c>
      <c r="L2" s="22" t="s">
        <v>61</v>
      </c>
      <c r="M2" s="14" t="s">
        <v>60</v>
      </c>
      <c r="N2" s="14" t="s">
        <v>75</v>
      </c>
      <c r="O2" s="10" t="s">
        <v>28</v>
      </c>
    </row>
    <row r="3" spans="1:15" ht="14.4" x14ac:dyDescent="0.3">
      <c r="A3" s="9">
        <v>2</v>
      </c>
      <c r="B3" s="9" t="s">
        <v>63</v>
      </c>
      <c r="C3" s="9" t="s">
        <v>64</v>
      </c>
      <c r="D3" s="11">
        <v>16640</v>
      </c>
      <c r="E3" s="12" t="str">
        <f t="shared" ref="E3:E16" ca="1" si="0">DATEDIF(D3,TODAY(),"Y")&amp;" años"</f>
        <v>80 años</v>
      </c>
      <c r="F3" s="11">
        <v>45629</v>
      </c>
      <c r="G3" s="9">
        <v>34.6</v>
      </c>
      <c r="H3" s="26" t="s">
        <v>65</v>
      </c>
      <c r="I3" s="9" t="s">
        <v>66</v>
      </c>
      <c r="J3" s="25" t="s">
        <v>148</v>
      </c>
      <c r="K3" s="24" t="s">
        <v>153</v>
      </c>
      <c r="L3" s="22" t="s">
        <v>154</v>
      </c>
      <c r="M3" s="22" t="s">
        <v>68</v>
      </c>
      <c r="N3" s="14" t="s">
        <v>67</v>
      </c>
      <c r="O3" s="10" t="s">
        <v>28</v>
      </c>
    </row>
    <row r="4" spans="1:15" ht="14.4" x14ac:dyDescent="0.3">
      <c r="A4" s="9">
        <v>3</v>
      </c>
      <c r="B4" s="9" t="s">
        <v>69</v>
      </c>
      <c r="C4" s="9" t="s">
        <v>70</v>
      </c>
      <c r="D4" s="11">
        <v>17645</v>
      </c>
      <c r="E4" s="12" t="str">
        <f t="shared" ca="1" si="0"/>
        <v>78 años</v>
      </c>
      <c r="F4" s="11">
        <v>43660</v>
      </c>
      <c r="G4" s="9">
        <v>45.5</v>
      </c>
      <c r="H4" s="26" t="s">
        <v>71</v>
      </c>
      <c r="I4" s="9" t="s">
        <v>72</v>
      </c>
      <c r="J4" s="25" t="s">
        <v>73</v>
      </c>
      <c r="K4" s="24" t="s">
        <v>74</v>
      </c>
      <c r="L4" s="24" t="s">
        <v>74</v>
      </c>
      <c r="M4" s="23" t="s">
        <v>173</v>
      </c>
      <c r="N4" s="14" t="s">
        <v>75</v>
      </c>
      <c r="O4" s="14" t="s">
        <v>28</v>
      </c>
    </row>
    <row r="5" spans="1:15" ht="28.8" x14ac:dyDescent="0.3">
      <c r="A5" s="9">
        <v>4</v>
      </c>
      <c r="B5" s="9" t="s">
        <v>76</v>
      </c>
      <c r="C5" s="9" t="s">
        <v>77</v>
      </c>
      <c r="D5" s="11">
        <v>16714</v>
      </c>
      <c r="E5" s="12" t="str">
        <f t="shared" ca="1" si="0"/>
        <v>80 años</v>
      </c>
      <c r="F5" s="11">
        <v>45653</v>
      </c>
      <c r="G5" s="9">
        <v>41.5</v>
      </c>
      <c r="H5" s="26" t="s">
        <v>172</v>
      </c>
      <c r="I5" s="9" t="s">
        <v>79</v>
      </c>
      <c r="J5" s="25" t="s">
        <v>149</v>
      </c>
      <c r="K5" s="24" t="s">
        <v>80</v>
      </c>
      <c r="L5" s="22" t="s">
        <v>155</v>
      </c>
      <c r="M5" s="22" t="s">
        <v>156</v>
      </c>
      <c r="N5" s="14" t="s">
        <v>75</v>
      </c>
      <c r="O5" s="14" t="s">
        <v>28</v>
      </c>
    </row>
    <row r="6" spans="1:15" ht="14.4" x14ac:dyDescent="0.3">
      <c r="A6" s="9">
        <v>5</v>
      </c>
      <c r="B6" s="9" t="s">
        <v>81</v>
      </c>
      <c r="C6" s="9" t="s">
        <v>82</v>
      </c>
      <c r="D6" s="11">
        <v>12056</v>
      </c>
      <c r="E6" s="12" t="str">
        <f t="shared" ca="1" si="0"/>
        <v>93 años</v>
      </c>
      <c r="F6" s="11">
        <v>43665</v>
      </c>
      <c r="G6" s="9">
        <v>46.5</v>
      </c>
      <c r="H6" s="26" t="s">
        <v>168</v>
      </c>
      <c r="I6" s="9" t="s">
        <v>150</v>
      </c>
      <c r="J6" s="25" t="s">
        <v>165</v>
      </c>
      <c r="K6" s="24" t="s">
        <v>157</v>
      </c>
      <c r="L6" s="23" t="s">
        <v>166</v>
      </c>
      <c r="M6" s="23" t="s">
        <v>167</v>
      </c>
      <c r="N6" s="14" t="s">
        <v>75</v>
      </c>
      <c r="O6" s="14" t="s">
        <v>28</v>
      </c>
    </row>
    <row r="7" spans="1:15" ht="14.4" x14ac:dyDescent="0.3">
      <c r="A7" s="9">
        <v>6</v>
      </c>
      <c r="B7" s="9" t="s">
        <v>163</v>
      </c>
      <c r="C7" s="9" t="s">
        <v>83</v>
      </c>
      <c r="D7" s="11">
        <v>21130</v>
      </c>
      <c r="E7" s="12" t="str">
        <f t="shared" ca="1" si="0"/>
        <v>68 años</v>
      </c>
      <c r="F7" s="11">
        <v>43855</v>
      </c>
      <c r="G7" s="9">
        <v>53.6</v>
      </c>
      <c r="H7" s="26" t="s">
        <v>169</v>
      </c>
      <c r="I7" s="9" t="s">
        <v>84</v>
      </c>
      <c r="J7" s="25" t="s">
        <v>151</v>
      </c>
      <c r="K7" s="24" t="s">
        <v>85</v>
      </c>
      <c r="L7" s="22" t="s">
        <v>158</v>
      </c>
      <c r="M7" s="22" t="s">
        <v>159</v>
      </c>
      <c r="N7" s="14" t="s">
        <v>75</v>
      </c>
      <c r="O7" s="14" t="s">
        <v>28</v>
      </c>
    </row>
    <row r="8" spans="1:15" ht="14.4" x14ac:dyDescent="0.3">
      <c r="A8" s="9">
        <v>7</v>
      </c>
      <c r="B8" s="9" t="s">
        <v>86</v>
      </c>
      <c r="C8" s="9" t="s">
        <v>87</v>
      </c>
      <c r="D8" s="11">
        <v>12875</v>
      </c>
      <c r="E8" s="12" t="str">
        <f t="shared" ca="1" si="0"/>
        <v>91 años</v>
      </c>
      <c r="F8" s="11">
        <v>46118</v>
      </c>
      <c r="G8" s="9">
        <v>58.7</v>
      </c>
      <c r="H8" s="26" t="s">
        <v>88</v>
      </c>
      <c r="I8" s="9" t="s">
        <v>89</v>
      </c>
      <c r="J8" s="25" t="s">
        <v>171</v>
      </c>
      <c r="K8" s="24" t="s">
        <v>90</v>
      </c>
      <c r="L8" s="24" t="s">
        <v>90</v>
      </c>
      <c r="M8" s="24" t="s">
        <v>89</v>
      </c>
      <c r="N8" s="14" t="s">
        <v>75</v>
      </c>
      <c r="O8" s="14" t="s">
        <v>28</v>
      </c>
    </row>
    <row r="9" spans="1:15" ht="14.4" x14ac:dyDescent="0.3">
      <c r="A9" s="9">
        <v>8</v>
      </c>
      <c r="B9" s="9" t="s">
        <v>164</v>
      </c>
      <c r="C9" s="9" t="s">
        <v>91</v>
      </c>
      <c r="D9" s="11">
        <v>11970</v>
      </c>
      <c r="E9" s="12" t="str">
        <f t="shared" ca="1" si="0"/>
        <v>93 años</v>
      </c>
      <c r="F9" s="11">
        <v>44399</v>
      </c>
      <c r="G9" s="9">
        <v>47.1</v>
      </c>
      <c r="H9" s="26" t="s">
        <v>92</v>
      </c>
      <c r="I9" s="9" t="s">
        <v>93</v>
      </c>
      <c r="J9" s="25" t="s">
        <v>152</v>
      </c>
      <c r="K9" s="24" t="s">
        <v>94</v>
      </c>
      <c r="L9" s="24" t="s">
        <v>94</v>
      </c>
      <c r="M9" s="24" t="s">
        <v>93</v>
      </c>
      <c r="N9" s="14" t="s">
        <v>75</v>
      </c>
      <c r="O9" s="14" t="s">
        <v>28</v>
      </c>
    </row>
    <row r="10" spans="1:15" ht="14.4" x14ac:dyDescent="0.3">
      <c r="A10" s="9">
        <v>9</v>
      </c>
      <c r="B10" s="9" t="s">
        <v>95</v>
      </c>
      <c r="C10" s="9" t="s">
        <v>96</v>
      </c>
      <c r="D10" s="11">
        <v>15099</v>
      </c>
      <c r="E10" s="12" t="str">
        <f t="shared" ca="1" si="0"/>
        <v>85 años</v>
      </c>
      <c r="F10" s="11">
        <v>46142</v>
      </c>
      <c r="G10" s="9">
        <v>43.6</v>
      </c>
      <c r="H10" s="26" t="s">
        <v>88</v>
      </c>
      <c r="I10" s="9" t="s">
        <v>97</v>
      </c>
      <c r="J10" s="25" t="s">
        <v>98</v>
      </c>
      <c r="K10" s="24" t="s">
        <v>99</v>
      </c>
      <c r="L10" s="24" t="s">
        <v>100</v>
      </c>
      <c r="M10" s="24" t="s">
        <v>101</v>
      </c>
      <c r="N10" s="14" t="s">
        <v>75</v>
      </c>
      <c r="O10" s="14" t="s">
        <v>28</v>
      </c>
    </row>
    <row r="11" spans="1:15" ht="28.8" x14ac:dyDescent="0.3">
      <c r="A11" s="9">
        <v>10</v>
      </c>
      <c r="B11" s="9" t="s">
        <v>102</v>
      </c>
      <c r="C11" s="9" t="s">
        <v>103</v>
      </c>
      <c r="D11" s="11">
        <v>14384</v>
      </c>
      <c r="E11" s="12" t="str">
        <f t="shared" ca="1" si="0"/>
        <v>87 años</v>
      </c>
      <c r="F11" s="11">
        <v>45993</v>
      </c>
      <c r="G11" s="9">
        <v>61.2</v>
      </c>
      <c r="H11" s="26" t="s">
        <v>105</v>
      </c>
      <c r="I11" s="9" t="s">
        <v>106</v>
      </c>
      <c r="J11" s="25" t="s">
        <v>107</v>
      </c>
      <c r="K11" s="24" t="s">
        <v>108</v>
      </c>
      <c r="L11" s="22" t="s">
        <v>109</v>
      </c>
      <c r="M11" s="22" t="s">
        <v>110</v>
      </c>
      <c r="N11" s="14" t="s">
        <v>111</v>
      </c>
      <c r="O11" s="14" t="s">
        <v>28</v>
      </c>
    </row>
    <row r="12" spans="1:15" ht="14.4" x14ac:dyDescent="0.3">
      <c r="A12" s="9">
        <v>11</v>
      </c>
      <c r="B12" s="9" t="s">
        <v>112</v>
      </c>
      <c r="C12" s="9" t="s">
        <v>113</v>
      </c>
      <c r="D12" s="11">
        <v>14652</v>
      </c>
      <c r="E12" s="12" t="str">
        <f t="shared" ca="1" si="0"/>
        <v>86 años</v>
      </c>
      <c r="F12" s="11">
        <v>45194</v>
      </c>
      <c r="G12" s="9">
        <v>56.8</v>
      </c>
      <c r="H12" s="13" t="s">
        <v>114</v>
      </c>
      <c r="I12" s="9" t="s">
        <v>116</v>
      </c>
      <c r="J12" s="25" t="s">
        <v>117</v>
      </c>
      <c r="K12" s="24" t="s">
        <v>118</v>
      </c>
      <c r="L12" s="22" t="s">
        <v>119</v>
      </c>
      <c r="M12" s="22" t="s">
        <v>120</v>
      </c>
      <c r="N12" s="14" t="s">
        <v>75</v>
      </c>
      <c r="O12" s="14" t="s">
        <v>28</v>
      </c>
    </row>
    <row r="13" spans="1:15" ht="28.8" x14ac:dyDescent="0.3">
      <c r="A13" s="9">
        <v>12</v>
      </c>
      <c r="B13" s="9" t="s">
        <v>121</v>
      </c>
      <c r="C13" s="9" t="s">
        <v>122</v>
      </c>
      <c r="D13" s="11">
        <v>9643</v>
      </c>
      <c r="E13" s="12" t="str">
        <f t="shared" ca="1" si="0"/>
        <v>100 años</v>
      </c>
      <c r="F13" s="11">
        <v>45348</v>
      </c>
      <c r="G13" s="9">
        <v>59</v>
      </c>
      <c r="H13" s="13" t="s">
        <v>170</v>
      </c>
      <c r="I13" s="9" t="s">
        <v>123</v>
      </c>
      <c r="J13" s="25" t="s">
        <v>124</v>
      </c>
      <c r="K13" s="24" t="s">
        <v>125</v>
      </c>
      <c r="L13" s="22" t="s">
        <v>160</v>
      </c>
      <c r="M13" s="22" t="s">
        <v>161</v>
      </c>
      <c r="N13" s="14" t="s">
        <v>67</v>
      </c>
      <c r="O13" s="14" t="s">
        <v>28</v>
      </c>
    </row>
    <row r="14" spans="1:15" ht="14.4" x14ac:dyDescent="0.3">
      <c r="A14" s="9">
        <v>13</v>
      </c>
      <c r="B14" s="9" t="s">
        <v>126</v>
      </c>
      <c r="C14" s="9" t="s">
        <v>127</v>
      </c>
      <c r="D14" s="11">
        <v>16987</v>
      </c>
      <c r="E14" s="12" t="str">
        <f t="shared" ca="1" si="0"/>
        <v>79 años</v>
      </c>
      <c r="F14" s="11">
        <v>45782</v>
      </c>
      <c r="G14" s="9">
        <v>73.5</v>
      </c>
      <c r="H14" s="13" t="s">
        <v>128</v>
      </c>
      <c r="I14" s="9" t="s">
        <v>129</v>
      </c>
      <c r="J14" s="25" t="s">
        <v>130</v>
      </c>
      <c r="K14" s="24" t="s">
        <v>131</v>
      </c>
      <c r="L14" s="22" t="s">
        <v>132</v>
      </c>
      <c r="M14" s="22" t="s">
        <v>133</v>
      </c>
      <c r="N14" s="14" t="s">
        <v>67</v>
      </c>
      <c r="O14" s="14" t="s">
        <v>28</v>
      </c>
    </row>
    <row r="15" spans="1:15" ht="28.8" x14ac:dyDescent="0.3">
      <c r="A15" s="9">
        <v>14</v>
      </c>
      <c r="B15" s="9" t="s">
        <v>134</v>
      </c>
      <c r="C15" s="9" t="s">
        <v>135</v>
      </c>
      <c r="D15" s="11">
        <v>14455</v>
      </c>
      <c r="E15" s="12" t="str">
        <f t="shared" ca="1" si="0"/>
        <v>86 años</v>
      </c>
      <c r="F15" s="11">
        <v>44859</v>
      </c>
      <c r="G15" s="9">
        <v>56.6</v>
      </c>
      <c r="H15" s="13" t="s">
        <v>136</v>
      </c>
      <c r="I15" s="9" t="s">
        <v>137</v>
      </c>
      <c r="J15" s="25" t="s">
        <v>138</v>
      </c>
      <c r="K15" s="24" t="s">
        <v>139</v>
      </c>
      <c r="L15" s="24" t="s">
        <v>139</v>
      </c>
      <c r="M15" s="24" t="s">
        <v>137</v>
      </c>
      <c r="N15" s="14" t="s">
        <v>174</v>
      </c>
      <c r="O15" s="14" t="s">
        <v>28</v>
      </c>
    </row>
    <row r="16" spans="1:15" ht="14.4" x14ac:dyDescent="0.3">
      <c r="A16" s="9">
        <v>15</v>
      </c>
      <c r="B16" s="9" t="s">
        <v>140</v>
      </c>
      <c r="C16" s="9" t="s">
        <v>141</v>
      </c>
      <c r="D16" s="11">
        <v>13751</v>
      </c>
      <c r="E16" s="12" t="str">
        <f t="shared" ca="1" si="0"/>
        <v>88 años</v>
      </c>
      <c r="F16" s="11">
        <v>44160</v>
      </c>
      <c r="G16" s="9">
        <v>46.3</v>
      </c>
      <c r="H16" s="13" t="s">
        <v>142</v>
      </c>
      <c r="I16" s="9" t="s">
        <v>143</v>
      </c>
      <c r="J16" s="25" t="s">
        <v>144</v>
      </c>
      <c r="K16" s="24" t="s">
        <v>145</v>
      </c>
      <c r="L16" s="22" t="s">
        <v>146</v>
      </c>
      <c r="M16" s="22" t="s">
        <v>147</v>
      </c>
      <c r="N16" s="14" t="s">
        <v>75</v>
      </c>
      <c r="O16" s="14" t="s">
        <v>28</v>
      </c>
    </row>
    <row r="17" spans="1:15" ht="14.4" x14ac:dyDescent="0.3">
      <c r="A17" s="5"/>
      <c r="B17" s="5"/>
      <c r="C17" s="5"/>
      <c r="D17" s="6"/>
      <c r="E17" s="12"/>
      <c r="F17" s="6"/>
      <c r="G17" s="5"/>
      <c r="H17" s="7"/>
      <c r="I17" s="5"/>
      <c r="J17" s="5"/>
      <c r="K17" s="5"/>
      <c r="L17" s="8"/>
      <c r="M17" s="8"/>
      <c r="N17" s="8"/>
      <c r="O17" s="8"/>
    </row>
    <row r="18" spans="1:15" ht="14.4" x14ac:dyDescent="0.3">
      <c r="A18" s="5"/>
      <c r="B18" s="5"/>
      <c r="C18" s="5"/>
      <c r="D18" s="6"/>
      <c r="E18" s="12"/>
      <c r="F18" s="6"/>
      <c r="G18" s="5"/>
      <c r="H18" s="7"/>
      <c r="I18" s="5"/>
      <c r="J18" s="5"/>
      <c r="K18" s="5"/>
      <c r="L18" s="8"/>
      <c r="M18" s="8"/>
      <c r="N18" s="8"/>
      <c r="O18" s="8"/>
    </row>
    <row r="19" spans="1:15" ht="14.4" x14ac:dyDescent="0.3">
      <c r="A19" s="5"/>
      <c r="B19" s="5"/>
      <c r="C19" s="5"/>
      <c r="D19" s="6"/>
      <c r="E19" s="12"/>
      <c r="F19" s="6"/>
      <c r="G19" s="5"/>
      <c r="H19" s="7"/>
      <c r="I19" s="5"/>
      <c r="J19" s="5"/>
      <c r="K19" s="5"/>
      <c r="L19" s="8"/>
      <c r="M19" s="8"/>
      <c r="N19" s="8"/>
      <c r="O19" s="8"/>
    </row>
    <row r="20" spans="1:15" ht="14.4" x14ac:dyDescent="0.3">
      <c r="A20" s="5"/>
      <c r="B20" s="5"/>
      <c r="C20" s="5"/>
      <c r="D20" s="6"/>
      <c r="E20" s="12"/>
      <c r="F20" s="6"/>
      <c r="G20" s="5"/>
      <c r="H20" s="7"/>
      <c r="I20" s="5"/>
      <c r="J20" s="5"/>
      <c r="K20" s="5"/>
      <c r="L20" s="8"/>
      <c r="M20" s="8"/>
      <c r="N20" s="8"/>
      <c r="O20" s="8"/>
    </row>
    <row r="21" spans="1:15" ht="15.75" customHeight="1" x14ac:dyDescent="0.3">
      <c r="A21" s="15"/>
      <c r="B21" s="15"/>
      <c r="C21" s="15"/>
      <c r="D21" s="15"/>
      <c r="E21" s="12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.75" customHeight="1" x14ac:dyDescent="0.3">
      <c r="A22" s="15"/>
      <c r="B22" s="15"/>
      <c r="C22" s="15"/>
      <c r="D22" s="15"/>
      <c r="E22" s="12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5.75" customHeight="1" x14ac:dyDescent="0.3">
      <c r="A23" s="15"/>
      <c r="B23" s="15"/>
      <c r="C23" s="15"/>
      <c r="D23" s="15"/>
      <c r="E23" s="12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5.75" customHeight="1" x14ac:dyDescent="0.3">
      <c r="A24" s="15"/>
      <c r="B24" s="15"/>
      <c r="C24" s="15"/>
      <c r="D24" s="15"/>
      <c r="E24" s="12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5.75" customHeight="1" x14ac:dyDescent="0.3">
      <c r="A25" s="15"/>
      <c r="B25" s="15"/>
      <c r="C25" s="15"/>
      <c r="D25" s="15"/>
      <c r="E25" s="12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5.75" customHeight="1" x14ac:dyDescent="0.3">
      <c r="A26" s="15"/>
      <c r="B26" s="15"/>
      <c r="C26" s="15"/>
      <c r="D26" s="15"/>
      <c r="E26" s="12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5.75" customHeight="1" x14ac:dyDescent="0.3">
      <c r="A27" s="15"/>
      <c r="B27" s="15"/>
      <c r="C27" s="15"/>
      <c r="D27" s="15"/>
      <c r="E27" s="12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5.75" customHeight="1" x14ac:dyDescent="0.3">
      <c r="A28" s="15"/>
      <c r="B28" s="15"/>
      <c r="C28" s="15"/>
      <c r="D28" s="15"/>
      <c r="E28" s="12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5.75" customHeight="1" x14ac:dyDescent="0.3">
      <c r="A29" s="15"/>
      <c r="B29" s="15"/>
      <c r="C29" s="15"/>
      <c r="D29" s="15"/>
      <c r="E29" s="12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5.75" customHeight="1" x14ac:dyDescent="0.3">
      <c r="A30" s="15"/>
      <c r="B30" s="15"/>
      <c r="C30" s="15"/>
      <c r="D30" s="15"/>
      <c r="E30" s="12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5.75" customHeight="1" x14ac:dyDescent="0.3">
      <c r="A31" s="15"/>
      <c r="B31" s="15"/>
      <c r="C31" s="15"/>
      <c r="D31" s="15"/>
      <c r="E31" s="12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5.75" customHeight="1" x14ac:dyDescent="0.3">
      <c r="A32" s="15"/>
      <c r="B32" s="15"/>
      <c r="C32" s="15"/>
      <c r="D32" s="15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5.75" customHeight="1" x14ac:dyDescent="0.3">
      <c r="A33" s="15"/>
      <c r="B33" s="15"/>
      <c r="C33" s="15"/>
      <c r="D33" s="15"/>
      <c r="E33" s="12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5.75" customHeight="1" x14ac:dyDescent="0.3">
      <c r="A34" s="15"/>
      <c r="B34" s="15"/>
      <c r="C34" s="15"/>
      <c r="D34" s="15"/>
      <c r="E34" s="12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5.75" customHeight="1" x14ac:dyDescent="0.3">
      <c r="A35" s="15"/>
      <c r="B35" s="15"/>
      <c r="C35" s="15"/>
      <c r="D35" s="15"/>
      <c r="E35" s="12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5.75" customHeight="1" x14ac:dyDescent="0.3">
      <c r="A36" s="15"/>
      <c r="B36" s="15"/>
      <c r="C36" s="15"/>
      <c r="D36" s="15"/>
      <c r="E36" s="12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5.75" customHeight="1" x14ac:dyDescent="0.3">
      <c r="A37" s="15"/>
      <c r="B37" s="15"/>
      <c r="C37" s="15"/>
      <c r="D37" s="15"/>
      <c r="E37" s="12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5.75" customHeight="1" x14ac:dyDescent="0.3">
      <c r="A38" s="15"/>
      <c r="B38" s="15"/>
      <c r="C38" s="15"/>
      <c r="D38" s="15"/>
      <c r="E38" s="12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5.75" customHeight="1" x14ac:dyDescent="0.3">
      <c r="A39" s="15"/>
      <c r="B39" s="15"/>
      <c r="C39" s="15"/>
      <c r="D39" s="15"/>
      <c r="E39" s="12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5.75" customHeight="1" x14ac:dyDescent="0.3">
      <c r="A40" s="15"/>
      <c r="B40" s="15"/>
      <c r="C40" s="15"/>
      <c r="D40" s="15"/>
      <c r="E40" s="12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5.75" customHeight="1" x14ac:dyDescent="0.3">
      <c r="A41" s="15"/>
      <c r="B41" s="15"/>
      <c r="C41" s="15"/>
      <c r="D41" s="15"/>
      <c r="E41" s="12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5.75" customHeight="1" x14ac:dyDescent="0.3">
      <c r="A42" s="15"/>
      <c r="B42" s="15"/>
      <c r="C42" s="15"/>
      <c r="D42" s="15"/>
      <c r="E42" s="12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5.75" customHeight="1" x14ac:dyDescent="0.3">
      <c r="A43" s="15"/>
      <c r="B43" s="15"/>
      <c r="C43" s="15"/>
      <c r="D43" s="15"/>
      <c r="E43" s="12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5.75" customHeight="1" x14ac:dyDescent="0.3">
      <c r="A44" s="15"/>
      <c r="B44" s="15"/>
      <c r="C44" s="15"/>
      <c r="D44" s="15"/>
      <c r="E44" s="12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5.75" customHeight="1" x14ac:dyDescent="0.3">
      <c r="A45" s="15"/>
      <c r="B45" s="15"/>
      <c r="C45" s="15"/>
      <c r="D45" s="15"/>
      <c r="E45" s="12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5.75" customHeight="1" x14ac:dyDescent="0.3">
      <c r="A46" s="15"/>
      <c r="B46" s="15"/>
      <c r="C46" s="15"/>
      <c r="D46" s="15"/>
      <c r="E46" s="12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5.75" customHeight="1" x14ac:dyDescent="0.3">
      <c r="A47" s="15"/>
      <c r="B47" s="15"/>
      <c r="C47" s="15"/>
      <c r="D47" s="15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5.75" customHeight="1" x14ac:dyDescent="0.3">
      <c r="A48" s="15"/>
      <c r="B48" s="15"/>
      <c r="C48" s="15"/>
      <c r="D48" s="15"/>
      <c r="E48" s="12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5.75" customHeight="1" x14ac:dyDescent="0.3">
      <c r="A49" s="15"/>
      <c r="B49" s="15"/>
      <c r="C49" s="15"/>
      <c r="D49" s="15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5.75" customHeight="1" x14ac:dyDescent="0.3">
      <c r="A50" s="15"/>
      <c r="B50" s="15"/>
      <c r="C50" s="15"/>
      <c r="D50" s="15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5.75" customHeight="1" x14ac:dyDescent="0.3">
      <c r="A51" s="15"/>
      <c r="B51" s="15"/>
      <c r="C51" s="15"/>
      <c r="D51" s="15"/>
      <c r="E51" s="12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5.75" customHeight="1" x14ac:dyDescent="0.3">
      <c r="A52" s="15"/>
      <c r="B52" s="15"/>
      <c r="C52" s="15"/>
      <c r="D52" s="15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5.75" customHeight="1" x14ac:dyDescent="0.3">
      <c r="A53" s="15"/>
      <c r="B53" s="15"/>
      <c r="C53" s="15"/>
      <c r="D53" s="15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5.75" customHeight="1" x14ac:dyDescent="0.3">
      <c r="A54" s="15"/>
      <c r="B54" s="15"/>
      <c r="C54" s="15"/>
      <c r="D54" s="15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5.75" customHeight="1" x14ac:dyDescent="0.3">
      <c r="A55" s="15"/>
      <c r="B55" s="15"/>
      <c r="C55" s="15"/>
      <c r="D55" s="15"/>
      <c r="E55" s="12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5.75" customHeight="1" x14ac:dyDescent="0.3">
      <c r="A56" s="15"/>
      <c r="B56" s="15"/>
      <c r="C56" s="15"/>
      <c r="D56" s="15"/>
      <c r="E56" s="12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5.75" customHeight="1" x14ac:dyDescent="0.3">
      <c r="A57" s="15"/>
      <c r="B57" s="15"/>
      <c r="C57" s="15"/>
      <c r="D57" s="15"/>
      <c r="E57" s="12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5.75" customHeight="1" x14ac:dyDescent="0.3">
      <c r="A58" s="15"/>
      <c r="B58" s="15"/>
      <c r="C58" s="15"/>
      <c r="D58" s="15"/>
      <c r="E58" s="12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5.75" customHeight="1" x14ac:dyDescent="0.3">
      <c r="A59" s="15"/>
      <c r="B59" s="15"/>
      <c r="C59" s="15"/>
      <c r="D59" s="15"/>
      <c r="E59" s="12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5.75" customHeight="1" x14ac:dyDescent="0.3">
      <c r="A60" s="15"/>
      <c r="B60" s="15"/>
      <c r="C60" s="15"/>
      <c r="D60" s="15"/>
      <c r="E60" s="12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5.75" customHeight="1" x14ac:dyDescent="0.3">
      <c r="A61" s="15"/>
      <c r="B61" s="15"/>
      <c r="C61" s="15"/>
      <c r="D61" s="15"/>
      <c r="E61" s="12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5.75" customHeight="1" x14ac:dyDescent="0.3">
      <c r="A62" s="15"/>
      <c r="B62" s="15"/>
      <c r="C62" s="15"/>
      <c r="D62" s="15"/>
      <c r="E62" s="12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5.75" customHeight="1" x14ac:dyDescent="0.3">
      <c r="A63" s="15"/>
      <c r="B63" s="15"/>
      <c r="C63" s="15"/>
      <c r="D63" s="15"/>
      <c r="E63" s="12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5.75" customHeight="1" x14ac:dyDescent="0.3">
      <c r="A64" s="15"/>
      <c r="B64" s="15"/>
      <c r="C64" s="15"/>
      <c r="D64" s="15"/>
      <c r="E64" s="12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5.75" customHeight="1" x14ac:dyDescent="0.3">
      <c r="A65" s="15"/>
      <c r="B65" s="15"/>
      <c r="C65" s="15"/>
      <c r="D65" s="15"/>
      <c r="E65" s="12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5.75" customHeight="1" x14ac:dyDescent="0.3">
      <c r="A66" s="15"/>
      <c r="B66" s="15"/>
      <c r="C66" s="15"/>
      <c r="D66" s="15"/>
      <c r="E66" s="12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5.75" customHeight="1" x14ac:dyDescent="0.3">
      <c r="A67" s="15"/>
      <c r="B67" s="15"/>
      <c r="C67" s="15"/>
      <c r="D67" s="15"/>
      <c r="E67" s="12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5.75" customHeight="1" x14ac:dyDescent="0.3">
      <c r="A68" s="15"/>
      <c r="B68" s="15"/>
      <c r="C68" s="15"/>
      <c r="D68" s="15"/>
      <c r="E68" s="12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5.75" customHeight="1" x14ac:dyDescent="0.3">
      <c r="A69" s="15"/>
      <c r="B69" s="15"/>
      <c r="C69" s="15"/>
      <c r="D69" s="15"/>
      <c r="E69" s="12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5.75" customHeight="1" x14ac:dyDescent="0.3">
      <c r="A70" s="15"/>
      <c r="B70" s="15"/>
      <c r="C70" s="15"/>
      <c r="D70" s="15"/>
      <c r="E70" s="12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5.75" customHeight="1" x14ac:dyDescent="0.3">
      <c r="A71" s="15"/>
      <c r="B71" s="15"/>
      <c r="C71" s="15"/>
      <c r="D71" s="15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5.75" customHeight="1" x14ac:dyDescent="0.3">
      <c r="A72" s="15"/>
      <c r="B72" s="15"/>
      <c r="C72" s="15"/>
      <c r="D72" s="15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5.75" customHeight="1" x14ac:dyDescent="0.3">
      <c r="A73" s="15"/>
      <c r="B73" s="15"/>
      <c r="C73" s="15"/>
      <c r="D73" s="15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5.75" customHeight="1" x14ac:dyDescent="0.3">
      <c r="A74" s="15"/>
      <c r="B74" s="15"/>
      <c r="C74" s="15"/>
      <c r="D74" s="15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5.75" customHeight="1" x14ac:dyDescent="0.3">
      <c r="A75" s="15"/>
      <c r="B75" s="15"/>
      <c r="C75" s="15"/>
      <c r="D75" s="15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5.75" customHeight="1" x14ac:dyDescent="0.3">
      <c r="A76" s="15"/>
      <c r="B76" s="15"/>
      <c r="C76" s="15"/>
      <c r="D76" s="15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5.75" customHeight="1" x14ac:dyDescent="0.3">
      <c r="A77" s="15"/>
      <c r="B77" s="15"/>
      <c r="C77" s="15"/>
      <c r="D77" s="15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5.75" customHeight="1" x14ac:dyDescent="0.3">
      <c r="A78" s="15"/>
      <c r="B78" s="15"/>
      <c r="C78" s="15"/>
      <c r="D78" s="15"/>
      <c r="E78" s="12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5.75" customHeight="1" x14ac:dyDescent="0.3">
      <c r="A79" s="15"/>
      <c r="B79" s="15"/>
      <c r="C79" s="15"/>
      <c r="D79" s="15"/>
      <c r="E79" s="12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5.75" customHeight="1" x14ac:dyDescent="0.3">
      <c r="A80" s="15"/>
      <c r="B80" s="15"/>
      <c r="C80" s="15"/>
      <c r="D80" s="15"/>
      <c r="E80" s="12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5.75" customHeight="1" x14ac:dyDescent="0.3">
      <c r="A81" s="15"/>
      <c r="B81" s="15"/>
      <c r="C81" s="15"/>
      <c r="D81" s="15"/>
      <c r="E81" s="12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5.75" customHeight="1" x14ac:dyDescent="0.3">
      <c r="A82" s="15"/>
      <c r="B82" s="15"/>
      <c r="C82" s="15"/>
      <c r="D82" s="15"/>
      <c r="E82" s="12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5.75" customHeight="1" x14ac:dyDescent="0.3">
      <c r="A83" s="15"/>
      <c r="B83" s="15"/>
      <c r="C83" s="15"/>
      <c r="D83" s="15"/>
      <c r="E83" s="12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5.75" customHeight="1" x14ac:dyDescent="0.3">
      <c r="A84" s="15"/>
      <c r="B84" s="15"/>
      <c r="C84" s="15"/>
      <c r="D84" s="15"/>
      <c r="E84" s="12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5.75" customHeight="1" x14ac:dyDescent="0.3">
      <c r="A85" s="15"/>
      <c r="B85" s="15"/>
      <c r="C85" s="15"/>
      <c r="D85" s="15"/>
      <c r="E85" s="12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5.75" customHeight="1" x14ac:dyDescent="0.3">
      <c r="A86" s="15"/>
      <c r="B86" s="15"/>
      <c r="C86" s="15"/>
      <c r="D86" s="15"/>
      <c r="E86" s="12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5.75" customHeight="1" x14ac:dyDescent="0.3">
      <c r="A87" s="15"/>
      <c r="B87" s="15"/>
      <c r="C87" s="15"/>
      <c r="D87" s="15"/>
      <c r="E87" s="12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5.75" customHeight="1" x14ac:dyDescent="0.3">
      <c r="A88" s="15"/>
      <c r="B88" s="15"/>
      <c r="C88" s="15"/>
      <c r="D88" s="15"/>
      <c r="E88" s="12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5.75" customHeight="1" x14ac:dyDescent="0.3">
      <c r="A89" s="15"/>
      <c r="B89" s="15"/>
      <c r="C89" s="15"/>
      <c r="D89" s="15"/>
      <c r="E89" s="12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5.75" customHeight="1" x14ac:dyDescent="0.3">
      <c r="A90" s="15"/>
      <c r="B90" s="15"/>
      <c r="C90" s="15"/>
      <c r="D90" s="15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5.75" customHeight="1" x14ac:dyDescent="0.3">
      <c r="A91" s="15"/>
      <c r="B91" s="15"/>
      <c r="C91" s="15"/>
      <c r="D91" s="15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5.75" customHeight="1" x14ac:dyDescent="0.3">
      <c r="A92" s="15"/>
      <c r="B92" s="15"/>
      <c r="C92" s="15"/>
      <c r="D92" s="15"/>
      <c r="E92" s="12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5.75" customHeight="1" x14ac:dyDescent="0.3">
      <c r="A93" s="15"/>
      <c r="B93" s="15"/>
      <c r="C93" s="15"/>
      <c r="D93" s="15"/>
      <c r="E93" s="12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5.75" customHeight="1" x14ac:dyDescent="0.3">
      <c r="A94" s="15"/>
      <c r="B94" s="15"/>
      <c r="C94" s="15"/>
      <c r="D94" s="15"/>
      <c r="E94" s="12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5.75" customHeight="1" x14ac:dyDescent="0.3">
      <c r="A95" s="15"/>
      <c r="B95" s="15"/>
      <c r="C95" s="15"/>
      <c r="D95" s="15"/>
      <c r="E95" s="12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5.75" customHeight="1" x14ac:dyDescent="0.3">
      <c r="A96" s="15"/>
      <c r="B96" s="15"/>
      <c r="C96" s="15"/>
      <c r="D96" s="15"/>
      <c r="E96" s="12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5.75" customHeight="1" x14ac:dyDescent="0.3">
      <c r="A97" s="15"/>
      <c r="B97" s="15"/>
      <c r="C97" s="15"/>
      <c r="D97" s="15"/>
      <c r="E97" s="12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5.75" customHeight="1" x14ac:dyDescent="0.3">
      <c r="A98" s="15"/>
      <c r="B98" s="15"/>
      <c r="C98" s="15"/>
      <c r="D98" s="15"/>
      <c r="E98" s="12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5.75" customHeight="1" x14ac:dyDescent="0.3">
      <c r="A99" s="15"/>
      <c r="B99" s="15"/>
      <c r="C99" s="15"/>
      <c r="D99" s="15"/>
      <c r="E99" s="12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5.75" customHeight="1" x14ac:dyDescent="0.3">
      <c r="A100" s="15"/>
      <c r="B100" s="15"/>
      <c r="C100" s="15"/>
      <c r="D100" s="15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5.75" customHeight="1" x14ac:dyDescent="0.3">
      <c r="A101" s="15"/>
      <c r="B101" s="15"/>
      <c r="C101" s="15"/>
      <c r="D101" s="15"/>
      <c r="E101" s="12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5.75" customHeight="1" x14ac:dyDescent="0.3">
      <c r="A102" s="15"/>
      <c r="B102" s="15"/>
      <c r="C102" s="15"/>
      <c r="D102" s="15"/>
      <c r="E102" s="12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5.75" customHeight="1" x14ac:dyDescent="0.3">
      <c r="A103" s="15"/>
      <c r="B103" s="15"/>
      <c r="C103" s="15"/>
      <c r="D103" s="15"/>
      <c r="E103" s="12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5.75" customHeight="1" x14ac:dyDescent="0.3">
      <c r="A104" s="15"/>
      <c r="B104" s="15"/>
      <c r="C104" s="15"/>
      <c r="D104" s="15"/>
      <c r="E104" s="12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5.75" customHeight="1" x14ac:dyDescent="0.3">
      <c r="A105" s="15"/>
      <c r="B105" s="15"/>
      <c r="C105" s="15"/>
      <c r="D105" s="15"/>
      <c r="E105" s="12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5.75" customHeight="1" x14ac:dyDescent="0.3">
      <c r="A106" s="15"/>
      <c r="B106" s="15"/>
      <c r="C106" s="15"/>
      <c r="D106" s="15"/>
      <c r="E106" s="12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5.75" customHeight="1" x14ac:dyDescent="0.3">
      <c r="A107" s="15"/>
      <c r="B107" s="15"/>
      <c r="C107" s="15"/>
      <c r="D107" s="15"/>
      <c r="E107" s="12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5.75" customHeight="1" x14ac:dyDescent="0.3">
      <c r="A108" s="15"/>
      <c r="B108" s="15"/>
      <c r="C108" s="15"/>
      <c r="D108" s="15"/>
      <c r="E108" s="12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5.75" customHeight="1" x14ac:dyDescent="0.3">
      <c r="A109" s="15"/>
      <c r="B109" s="15"/>
      <c r="C109" s="15"/>
      <c r="D109" s="15"/>
      <c r="E109" s="12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5.75" customHeight="1" x14ac:dyDescent="0.3">
      <c r="A110" s="15"/>
      <c r="B110" s="15"/>
      <c r="C110" s="15"/>
      <c r="D110" s="15"/>
      <c r="E110" s="12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5.75" customHeight="1" x14ac:dyDescent="0.3">
      <c r="A111" s="15"/>
      <c r="B111" s="15"/>
      <c r="C111" s="15"/>
      <c r="D111" s="15"/>
      <c r="E111" s="12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5.75" customHeight="1" x14ac:dyDescent="0.3">
      <c r="A112" s="15"/>
      <c r="B112" s="15"/>
      <c r="C112" s="15"/>
      <c r="D112" s="15"/>
      <c r="E112" s="12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5.75" customHeight="1" x14ac:dyDescent="0.3">
      <c r="A113" s="15"/>
      <c r="B113" s="15"/>
      <c r="C113" s="15"/>
      <c r="D113" s="15"/>
      <c r="E113" s="12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5.75" customHeight="1" x14ac:dyDescent="0.3">
      <c r="A114" s="15"/>
      <c r="B114" s="15"/>
      <c r="C114" s="15"/>
      <c r="D114" s="15"/>
      <c r="E114" s="12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5.75" customHeight="1" x14ac:dyDescent="0.3">
      <c r="A115" s="15"/>
      <c r="B115" s="15"/>
      <c r="C115" s="15"/>
      <c r="D115" s="15"/>
      <c r="E115" s="12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5.75" customHeight="1" x14ac:dyDescent="0.3">
      <c r="A116" s="15"/>
      <c r="B116" s="15"/>
      <c r="C116" s="15"/>
      <c r="D116" s="15"/>
      <c r="E116" s="12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5.75" customHeight="1" x14ac:dyDescent="0.3">
      <c r="A117" s="15"/>
      <c r="B117" s="15"/>
      <c r="C117" s="15"/>
      <c r="D117" s="15"/>
      <c r="E117" s="12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5.75" customHeight="1" x14ac:dyDescent="0.3">
      <c r="A118" s="15"/>
      <c r="B118" s="15"/>
      <c r="C118" s="15"/>
      <c r="D118" s="15"/>
      <c r="E118" s="12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5.75" customHeight="1" x14ac:dyDescent="0.3">
      <c r="A119" s="15"/>
      <c r="B119" s="15"/>
      <c r="C119" s="15"/>
      <c r="D119" s="15"/>
      <c r="E119" s="12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5.75" customHeight="1" x14ac:dyDescent="0.3">
      <c r="A120" s="15"/>
      <c r="B120" s="15"/>
      <c r="C120" s="15"/>
      <c r="D120" s="15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5.75" customHeight="1" x14ac:dyDescent="0.3">
      <c r="A121" s="15"/>
      <c r="B121" s="15"/>
      <c r="C121" s="15"/>
      <c r="D121" s="15"/>
      <c r="E121" s="12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5.75" customHeight="1" x14ac:dyDescent="0.3">
      <c r="A122" s="15"/>
      <c r="B122" s="15"/>
      <c r="C122" s="15"/>
      <c r="D122" s="15"/>
      <c r="E122" s="12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5.75" customHeight="1" x14ac:dyDescent="0.3">
      <c r="A123" s="15"/>
      <c r="B123" s="15"/>
      <c r="C123" s="15"/>
      <c r="D123" s="15"/>
      <c r="E123" s="12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5.75" customHeight="1" x14ac:dyDescent="0.3">
      <c r="A124" s="15"/>
      <c r="B124" s="15"/>
      <c r="C124" s="15"/>
      <c r="D124" s="15"/>
      <c r="E124" s="12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5.75" customHeight="1" x14ac:dyDescent="0.3">
      <c r="A125" s="15"/>
      <c r="B125" s="15"/>
      <c r="C125" s="15"/>
      <c r="D125" s="15"/>
      <c r="E125" s="12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5.75" customHeight="1" x14ac:dyDescent="0.3">
      <c r="A126" s="15"/>
      <c r="B126" s="15"/>
      <c r="C126" s="15"/>
      <c r="D126" s="15"/>
      <c r="E126" s="12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5.75" customHeight="1" x14ac:dyDescent="0.3">
      <c r="A127" s="15"/>
      <c r="B127" s="15"/>
      <c r="C127" s="15"/>
      <c r="D127" s="15"/>
      <c r="E127" s="12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5.75" customHeight="1" x14ac:dyDescent="0.3">
      <c r="A128" s="15"/>
      <c r="B128" s="15"/>
      <c r="C128" s="15"/>
      <c r="D128" s="15"/>
      <c r="E128" s="12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5.75" customHeight="1" x14ac:dyDescent="0.3">
      <c r="A129" s="15"/>
      <c r="B129" s="15"/>
      <c r="C129" s="15"/>
      <c r="D129" s="15"/>
      <c r="E129" s="12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5.75" customHeight="1" x14ac:dyDescent="0.3">
      <c r="A130" s="15"/>
      <c r="B130" s="15"/>
      <c r="C130" s="15"/>
      <c r="D130" s="15"/>
      <c r="E130" s="12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5.75" customHeight="1" x14ac:dyDescent="0.3">
      <c r="A131" s="15"/>
      <c r="B131" s="15"/>
      <c r="C131" s="15"/>
      <c r="D131" s="15"/>
      <c r="E131" s="12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5.75" customHeight="1" x14ac:dyDescent="0.3">
      <c r="A132" s="15"/>
      <c r="B132" s="15"/>
      <c r="C132" s="15"/>
      <c r="D132" s="15"/>
      <c r="E132" s="12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5.7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5.7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5.7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5.7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5.7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5.7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5.7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5.7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5.7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5.7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5.7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5.7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5.7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5.7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5.7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5.7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5.7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5.7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5.7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5.7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5.7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5.7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5.7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5.7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5.7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5.7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5.7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5.75" customHeigh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5.75" customHeigh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5.75" customHeigh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5.75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5.75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5.7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5.7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5.75" customHeigh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5.75" customHeigh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5.7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5.7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5.75" customHeigh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5.75" customHeigh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5.75" customHeigh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5.75" customHeigh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5.75" customHeigh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5.75" customHeigh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5.75" customHeigh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5.75" customHeigh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5.75" customHeigh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5.75" customHeigh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5.75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5.75" customHeigh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5.75" customHeigh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5.75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5.75" customHeigh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5.75" customHeigh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5.75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5.75" customHeigh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5.75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5.75" customHeigh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5.75" customHeigh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5.75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5.75" customHeigh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5.75" customHeigh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5.75" customHeigh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5.75" customHeigh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5.75" customHeigh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5.75" customHeigh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5.75" customHeigh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5.75" customHeigh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5.75" customHeigh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5.75" customHeigh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5.7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5.75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5.75" customHeigh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5.75" customHeight="1" x14ac:dyDescent="0.3"/>
    <row r="207" spans="1:15" ht="15.75" customHeight="1" x14ac:dyDescent="0.3"/>
    <row r="208" spans="1:15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J4" r:id="rId1" xr:uid="{A9B23803-B772-40F4-B8C8-1B0436E9FAF7}"/>
    <hyperlink ref="J10" r:id="rId2" xr:uid="{809265A9-8E53-4503-9378-C04A1B25D2C6}"/>
    <hyperlink ref="J11" r:id="rId3" xr:uid="{7A638596-F5C9-40A9-B8CA-5C81C04F355B}"/>
    <hyperlink ref="J12" r:id="rId4" xr:uid="{8A7BE51B-9B12-4A38-9A6B-76A489B161DF}"/>
    <hyperlink ref="J13" r:id="rId5" xr:uid="{E8DF9553-A280-4F45-9848-7421A17C5838}"/>
    <hyperlink ref="J14" r:id="rId6" xr:uid="{4377BC81-59FC-4323-920D-F52D8FFF3EB7}"/>
    <hyperlink ref="J15" r:id="rId7" xr:uid="{9880ED49-457C-444F-965B-D351940D4E1E}"/>
    <hyperlink ref="J16" r:id="rId8" xr:uid="{1CD4A1C1-3D86-4309-A429-800CD9BC5ADA}"/>
    <hyperlink ref="J3" r:id="rId9" xr:uid="{F62354CC-A759-40D9-AAF0-3D59DCA39654}"/>
    <hyperlink ref="J5" r:id="rId10" xr:uid="{370949BA-1C92-405A-B38C-2A9404165E34}"/>
    <hyperlink ref="J7" r:id="rId11" xr:uid="{3146DEF1-9D18-411F-AC81-E8E1C49E829A}"/>
    <hyperlink ref="J9" r:id="rId12" xr:uid="{8E32C918-7B2C-49C4-9A15-1CAEFD24EFB1}"/>
    <hyperlink ref="J6" r:id="rId13" xr:uid="{F53ED22C-D44D-4E50-92B0-EF99B88EA52E}"/>
    <hyperlink ref="J2" r:id="rId14" xr:uid="{A86C1A02-BB73-4610-9AC8-CFBCCD1D637A}"/>
    <hyperlink ref="J8" r:id="rId15" xr:uid="{AC03FAF8-EC77-438D-AE44-E8FDB6466E42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000"/>
  <sheetViews>
    <sheetView workbookViewId="0">
      <selection activeCell="B4" sqref="B4"/>
    </sheetView>
  </sheetViews>
  <sheetFormatPr baseColWidth="10" defaultColWidth="14.44140625" defaultRowHeight="15" customHeight="1" x14ac:dyDescent="0.3"/>
  <cols>
    <col min="1" max="2" width="17.88671875" customWidth="1"/>
    <col min="3" max="3" width="17.44140625" customWidth="1"/>
    <col min="4" max="26" width="10.6640625" customWidth="1"/>
  </cols>
  <sheetData>
    <row r="2" spans="1:3" ht="14.4" x14ac:dyDescent="0.3">
      <c r="A2" s="1" t="s">
        <v>29</v>
      </c>
      <c r="B2" s="1"/>
    </row>
    <row r="3" spans="1:3" ht="14.4" x14ac:dyDescent="0.3">
      <c r="A3" s="1" t="s">
        <v>18</v>
      </c>
      <c r="B3" s="1"/>
    </row>
    <row r="5" spans="1:3" ht="14.4" x14ac:dyDescent="0.3">
      <c r="A5" s="1" t="s">
        <v>30</v>
      </c>
      <c r="B5" s="1" t="s">
        <v>31</v>
      </c>
    </row>
    <row r="7" spans="1:3" ht="14.4" x14ac:dyDescent="0.3">
      <c r="A7" s="1" t="s">
        <v>32</v>
      </c>
    </row>
    <row r="9" spans="1:3" ht="14.4" x14ac:dyDescent="0.3">
      <c r="A9" s="29" t="s">
        <v>33</v>
      </c>
      <c r="B9" s="30"/>
      <c r="C9" s="31"/>
    </row>
    <row r="10" spans="1:3" ht="14.4" x14ac:dyDescent="0.3">
      <c r="A10" s="32"/>
      <c r="B10" s="33"/>
      <c r="C10" s="34"/>
    </row>
    <row r="11" spans="1:3" ht="14.4" x14ac:dyDescent="0.3">
      <c r="A11" s="32"/>
      <c r="B11" s="33"/>
      <c r="C11" s="34"/>
    </row>
    <row r="12" spans="1:3" ht="14.4" x14ac:dyDescent="0.3">
      <c r="A12" s="32"/>
      <c r="B12" s="33"/>
      <c r="C12" s="34"/>
    </row>
    <row r="13" spans="1:3" ht="14.4" x14ac:dyDescent="0.3">
      <c r="A13" s="32"/>
      <c r="B13" s="33"/>
      <c r="C13" s="34"/>
    </row>
    <row r="14" spans="1:3" ht="14.4" x14ac:dyDescent="0.3">
      <c r="A14" s="32"/>
      <c r="B14" s="33"/>
      <c r="C14" s="34"/>
    </row>
    <row r="15" spans="1:3" ht="14.4" x14ac:dyDescent="0.3">
      <c r="A15" s="32"/>
      <c r="B15" s="33"/>
      <c r="C15" s="34"/>
    </row>
    <row r="16" spans="1:3" ht="14.4" x14ac:dyDescent="0.3">
      <c r="A16" s="32"/>
      <c r="B16" s="33"/>
      <c r="C16" s="34"/>
    </row>
    <row r="17" spans="1:3" ht="14.4" x14ac:dyDescent="0.3">
      <c r="A17" s="35"/>
      <c r="B17" s="36"/>
      <c r="C17" s="37"/>
    </row>
    <row r="21" spans="1:3" ht="15.75" customHeight="1" x14ac:dyDescent="0.3"/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9:C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000"/>
  <sheetViews>
    <sheetView workbookViewId="0">
      <selection activeCell="D38" sqref="D38"/>
    </sheetView>
  </sheetViews>
  <sheetFormatPr baseColWidth="10" defaultColWidth="14.44140625" defaultRowHeight="15" customHeight="1" x14ac:dyDescent="0.3"/>
  <cols>
    <col min="1" max="3" width="17.6640625" customWidth="1"/>
    <col min="4" max="26" width="10.6640625" customWidth="1"/>
  </cols>
  <sheetData>
    <row r="2" spans="1:3" ht="14.4" x14ac:dyDescent="0.3">
      <c r="A2" s="1" t="s">
        <v>29</v>
      </c>
      <c r="B2" s="1" t="s">
        <v>34</v>
      </c>
    </row>
    <row r="3" spans="1:3" ht="14.4" x14ac:dyDescent="0.3">
      <c r="A3" s="1" t="s">
        <v>18</v>
      </c>
      <c r="B3" s="1" t="s">
        <v>35</v>
      </c>
    </row>
    <row r="5" spans="1:3" ht="14.4" x14ac:dyDescent="0.3">
      <c r="A5" s="1" t="s">
        <v>30</v>
      </c>
      <c r="B5" s="1" t="s">
        <v>31</v>
      </c>
    </row>
    <row r="7" spans="1:3" ht="14.4" x14ac:dyDescent="0.3">
      <c r="A7" s="1" t="s">
        <v>36</v>
      </c>
    </row>
    <row r="9" spans="1:3" ht="14.4" x14ac:dyDescent="0.3">
      <c r="A9" s="29"/>
      <c r="B9" s="30"/>
      <c r="C9" s="31"/>
    </row>
    <row r="10" spans="1:3" ht="14.4" x14ac:dyDescent="0.3">
      <c r="A10" s="32"/>
      <c r="B10" s="33"/>
      <c r="C10" s="34"/>
    </row>
    <row r="11" spans="1:3" ht="14.4" x14ac:dyDescent="0.3">
      <c r="A11" s="32"/>
      <c r="B11" s="33"/>
      <c r="C11" s="34"/>
    </row>
    <row r="12" spans="1:3" ht="14.4" x14ac:dyDescent="0.3">
      <c r="A12" s="32"/>
      <c r="B12" s="33"/>
      <c r="C12" s="34"/>
    </row>
    <row r="13" spans="1:3" ht="14.4" x14ac:dyDescent="0.3">
      <c r="A13" s="32"/>
      <c r="B13" s="33"/>
      <c r="C13" s="34"/>
    </row>
    <row r="14" spans="1:3" ht="14.4" x14ac:dyDescent="0.3">
      <c r="A14" s="32"/>
      <c r="B14" s="33"/>
      <c r="C14" s="34"/>
    </row>
    <row r="15" spans="1:3" ht="14.4" x14ac:dyDescent="0.3">
      <c r="A15" s="32"/>
      <c r="B15" s="33"/>
      <c r="C15" s="34"/>
    </row>
    <row r="16" spans="1:3" ht="14.4" x14ac:dyDescent="0.3">
      <c r="A16" s="32"/>
      <c r="B16" s="33"/>
      <c r="C16" s="34"/>
    </row>
    <row r="17" spans="1:3" ht="14.4" x14ac:dyDescent="0.3">
      <c r="A17" s="35"/>
      <c r="B17" s="36"/>
      <c r="C17" s="37"/>
    </row>
    <row r="21" spans="1:3" ht="15.75" customHeight="1" x14ac:dyDescent="0.3"/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9:C1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3"/>
  <sheetViews>
    <sheetView zoomScale="115" zoomScaleNormal="115" workbookViewId="0">
      <selection activeCell="D12" sqref="D12"/>
    </sheetView>
  </sheetViews>
  <sheetFormatPr baseColWidth="10" defaultColWidth="14.44140625" defaultRowHeight="15" customHeight="1" x14ac:dyDescent="0.3"/>
  <cols>
    <col min="1" max="1" width="17.21875" customWidth="1"/>
    <col min="2" max="2" width="16.109375" customWidth="1"/>
    <col min="3" max="3" width="21.6640625" customWidth="1"/>
    <col min="4" max="4" width="22.21875" customWidth="1"/>
    <col min="5" max="5" width="13.33203125" customWidth="1"/>
    <col min="6" max="26" width="10.6640625" customWidth="1"/>
  </cols>
  <sheetData>
    <row r="1" spans="1:7" ht="14.4" x14ac:dyDescent="0.3">
      <c r="A1" s="39" t="s">
        <v>176</v>
      </c>
      <c r="B1" s="39"/>
      <c r="C1" s="39"/>
      <c r="D1" s="39"/>
      <c r="E1" s="39"/>
      <c r="F1" s="39"/>
    </row>
    <row r="2" spans="1:7" ht="14.4" x14ac:dyDescent="0.3">
      <c r="A2" s="40" t="s">
        <v>180</v>
      </c>
      <c r="B2" s="40"/>
      <c r="C2" s="17"/>
      <c r="D2" s="17"/>
      <c r="E2" s="17"/>
      <c r="F2" s="17"/>
    </row>
    <row r="3" spans="1:7" ht="14.4" x14ac:dyDescent="0.3">
      <c r="A3" s="16" t="s">
        <v>175</v>
      </c>
      <c r="G3" s="1"/>
    </row>
    <row r="4" spans="1:7" ht="14.4" x14ac:dyDescent="0.3">
      <c r="A4" s="1" t="s">
        <v>37</v>
      </c>
      <c r="B4" s="1"/>
      <c r="G4" s="1"/>
    </row>
    <row r="5" spans="1:7" ht="14.4" x14ac:dyDescent="0.3">
      <c r="A5" s="1" t="s">
        <v>38</v>
      </c>
      <c r="B5" s="1"/>
      <c r="G5" s="1"/>
    </row>
    <row r="6" spans="1:7" ht="14.4" x14ac:dyDescent="0.3">
      <c r="A6" s="1" t="s">
        <v>39</v>
      </c>
      <c r="B6" s="1"/>
      <c r="G6" s="1"/>
    </row>
    <row r="7" spans="1:7" ht="14.4" x14ac:dyDescent="0.3">
      <c r="A7" s="1" t="s">
        <v>40</v>
      </c>
      <c r="B7" s="1"/>
      <c r="G7" s="1"/>
    </row>
    <row r="9" spans="1:7" ht="14.4" x14ac:dyDescent="0.3">
      <c r="A9" s="18" t="s">
        <v>177</v>
      </c>
      <c r="B9" s="18" t="s">
        <v>181</v>
      </c>
      <c r="C9" s="18" t="s">
        <v>182</v>
      </c>
      <c r="D9" s="18" t="s">
        <v>183</v>
      </c>
    </row>
    <row r="10" spans="1:7" ht="14.4" x14ac:dyDescent="0.3">
      <c r="A10" s="4"/>
      <c r="B10" s="4"/>
      <c r="C10" s="4"/>
      <c r="D10" s="4"/>
      <c r="F10" s="1" t="s">
        <v>41</v>
      </c>
    </row>
    <row r="11" spans="1:7" ht="14.4" x14ac:dyDescent="0.3">
      <c r="A11" s="1"/>
    </row>
    <row r="12" spans="1:7" ht="14.4" x14ac:dyDescent="0.3">
      <c r="A12" s="21" t="s">
        <v>178</v>
      </c>
      <c r="B12" s="19"/>
      <c r="C12" s="19"/>
      <c r="D12" s="20" t="s">
        <v>42</v>
      </c>
    </row>
    <row r="13" spans="1:7" ht="14.4" x14ac:dyDescent="0.3">
      <c r="A13" s="16"/>
      <c r="D13" s="16"/>
    </row>
    <row r="14" spans="1:7" ht="14.4" x14ac:dyDescent="0.3">
      <c r="A14" s="16" t="s">
        <v>179</v>
      </c>
    </row>
    <row r="15" spans="1:7" ht="14.4" x14ac:dyDescent="0.3">
      <c r="A15" s="1"/>
    </row>
    <row r="16" spans="1:7" ht="14.4" x14ac:dyDescent="0.3">
      <c r="B16" s="16"/>
    </row>
    <row r="17" spans="1:6" ht="15" customHeight="1" x14ac:dyDescent="0.3">
      <c r="A17" s="21" t="s">
        <v>43</v>
      </c>
    </row>
    <row r="18" spans="1:6" ht="14.4" x14ac:dyDescent="0.3">
      <c r="A18" s="38" t="s">
        <v>44</v>
      </c>
      <c r="B18" s="30"/>
      <c r="C18" s="30"/>
      <c r="D18" s="30"/>
      <c r="E18" s="30"/>
      <c r="F18" s="31"/>
    </row>
    <row r="19" spans="1:6" ht="14.4" x14ac:dyDescent="0.3">
      <c r="A19" s="32"/>
      <c r="B19" s="33"/>
      <c r="C19" s="33"/>
      <c r="D19" s="33"/>
      <c r="E19" s="33"/>
      <c r="F19" s="34"/>
    </row>
    <row r="20" spans="1:6" ht="14.4" x14ac:dyDescent="0.3">
      <c r="A20" s="32"/>
      <c r="B20" s="33"/>
      <c r="C20" s="33"/>
      <c r="D20" s="33"/>
      <c r="E20" s="33"/>
      <c r="F20" s="34"/>
    </row>
    <row r="21" spans="1:6" ht="14.4" x14ac:dyDescent="0.3">
      <c r="A21" s="35"/>
      <c r="B21" s="36"/>
      <c r="C21" s="36"/>
      <c r="D21" s="36"/>
      <c r="E21" s="36"/>
      <c r="F21" s="37"/>
    </row>
    <row r="24" spans="1:6" ht="15.75" customHeight="1" x14ac:dyDescent="0.3">
      <c r="A24" s="1"/>
    </row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3">
    <mergeCell ref="A18:F21"/>
    <mergeCell ref="A1:F1"/>
    <mergeCell ref="A2:B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000"/>
  <sheetViews>
    <sheetView workbookViewId="0"/>
  </sheetViews>
  <sheetFormatPr baseColWidth="10" defaultColWidth="14.44140625" defaultRowHeight="15" customHeight="1" x14ac:dyDescent="0.3"/>
  <cols>
    <col min="1" max="1" width="17.88671875" customWidth="1"/>
    <col min="2" max="2" width="10.6640625" customWidth="1"/>
    <col min="3" max="3" width="12" customWidth="1"/>
    <col min="4" max="26" width="10.6640625" customWidth="1"/>
  </cols>
  <sheetData>
    <row r="2" spans="1:4" ht="14.4" x14ac:dyDescent="0.3">
      <c r="B2" s="1" t="s">
        <v>45</v>
      </c>
    </row>
    <row r="4" spans="1:4" ht="14.4" x14ac:dyDescent="0.3">
      <c r="A4" s="4" t="s">
        <v>29</v>
      </c>
      <c r="B4" s="4"/>
    </row>
    <row r="5" spans="1:4" ht="14.4" x14ac:dyDescent="0.3">
      <c r="A5" s="4" t="s">
        <v>46</v>
      </c>
      <c r="B5" s="4"/>
    </row>
    <row r="6" spans="1:4" ht="14.4" x14ac:dyDescent="0.3">
      <c r="A6" s="4" t="s">
        <v>40</v>
      </c>
      <c r="B6" s="4"/>
    </row>
    <row r="7" spans="1:4" ht="14.4" x14ac:dyDescent="0.3">
      <c r="A7" s="4" t="s">
        <v>47</v>
      </c>
      <c r="B7" s="4"/>
    </row>
    <row r="8" spans="1:4" ht="14.4" x14ac:dyDescent="0.3">
      <c r="A8" s="4" t="s">
        <v>48</v>
      </c>
      <c r="B8" s="4"/>
    </row>
    <row r="9" spans="1:4" ht="14.4" x14ac:dyDescent="0.3">
      <c r="A9" s="4" t="s">
        <v>49</v>
      </c>
      <c r="B9" s="4"/>
      <c r="C9" s="4" t="s">
        <v>50</v>
      </c>
      <c r="D9" s="4"/>
    </row>
    <row r="10" spans="1:4" ht="14.4" x14ac:dyDescent="0.3">
      <c r="A10" s="4" t="s">
        <v>51</v>
      </c>
      <c r="B10" s="4"/>
      <c r="C10" s="4" t="s">
        <v>50</v>
      </c>
      <c r="D10" s="4"/>
    </row>
    <row r="11" spans="1:4" ht="14.4" x14ac:dyDescent="0.3">
      <c r="A11" s="4" t="s">
        <v>52</v>
      </c>
      <c r="B11" s="4"/>
      <c r="C11" s="4" t="s">
        <v>50</v>
      </c>
      <c r="D11" s="4"/>
    </row>
    <row r="12" spans="1:4" ht="14.4" x14ac:dyDescent="0.3">
      <c r="A12" s="4" t="s">
        <v>53</v>
      </c>
      <c r="B12" s="4"/>
      <c r="C12" s="4" t="s">
        <v>50</v>
      </c>
      <c r="D12" s="4"/>
    </row>
    <row r="13" spans="1:4" ht="14.4" x14ac:dyDescent="0.3">
      <c r="A13" s="4" t="s">
        <v>54</v>
      </c>
      <c r="B13" s="4"/>
      <c r="C13" s="4" t="s">
        <v>50</v>
      </c>
      <c r="D13" s="4"/>
    </row>
    <row r="15" spans="1:4" ht="14.4" x14ac:dyDescent="0.3">
      <c r="A15" s="1" t="s">
        <v>55</v>
      </c>
    </row>
    <row r="17" spans="1:5" ht="14.4" x14ac:dyDescent="0.3">
      <c r="A17" s="41" t="s">
        <v>56</v>
      </c>
      <c r="B17" s="30"/>
      <c r="C17" s="30"/>
      <c r="D17" s="30"/>
      <c r="E17" s="31"/>
    </row>
    <row r="18" spans="1:5" ht="14.4" x14ac:dyDescent="0.3">
      <c r="A18" s="32"/>
      <c r="B18" s="33"/>
      <c r="C18" s="33"/>
      <c r="D18" s="33"/>
      <c r="E18" s="34"/>
    </row>
    <row r="19" spans="1:5" ht="14.4" x14ac:dyDescent="0.3">
      <c r="A19" s="32"/>
      <c r="B19" s="33"/>
      <c r="C19" s="33"/>
      <c r="D19" s="33"/>
      <c r="E19" s="34"/>
    </row>
    <row r="20" spans="1:5" ht="14.4" x14ac:dyDescent="0.3">
      <c r="A20" s="32"/>
      <c r="B20" s="33"/>
      <c r="C20" s="33"/>
      <c r="D20" s="33"/>
      <c r="E20" s="34"/>
    </row>
    <row r="21" spans="1:5" ht="15.75" customHeight="1" x14ac:dyDescent="0.3">
      <c r="A21" s="35"/>
      <c r="B21" s="36"/>
      <c r="C21" s="36"/>
      <c r="D21" s="36"/>
      <c r="E21" s="37"/>
    </row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7:E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Usuarios</vt:lpstr>
      <vt:lpstr>Residentes</vt:lpstr>
      <vt:lpstr>Form DT</vt:lpstr>
      <vt:lpstr>Form Enf</vt:lpstr>
      <vt:lpstr>Form CAM</vt:lpstr>
      <vt:lpstr>Nutri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Namoncura</cp:lastModifiedBy>
  <dcterms:created xsi:type="dcterms:W3CDTF">2026-03-27T18:38:23Z</dcterms:created>
  <dcterms:modified xsi:type="dcterms:W3CDTF">2026-06-14T23:41:16Z</dcterms:modified>
</cp:coreProperties>
</file>